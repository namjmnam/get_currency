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gdhvinca-my.sharepoint.com/personal/jmnam_gdhl_co_kr/Documents/바탕 화면/"/>
    </mc:Choice>
  </mc:AlternateContent>
  <xr:revisionPtr revIDLastSave="160" documentId="8_{2B333948-9935-481A-97E8-3928F2DB94E3}" xr6:coauthVersionLast="47" xr6:coauthVersionMax="47" xr10:uidLastSave="{27813CEC-3612-4AE7-855A-6A023EFF7E79}"/>
  <bookViews>
    <workbookView xWindow="-120" yWindow="-120" windowWidth="29040" windowHeight="15720" xr2:uid="{FC48D891-3075-4B0A-A352-45D2FFEEDD1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" l="1"/>
  <c r="N1" i="1" s="1"/>
  <c r="J57" i="1" l="1"/>
  <c r="T57" i="1" s="1"/>
  <c r="F4" i="1"/>
  <c r="O4" i="1" s="1"/>
  <c r="K56" i="1"/>
  <c r="U56" i="1" s="1"/>
  <c r="G5" i="1"/>
  <c r="P5" i="1" s="1"/>
  <c r="J40" i="1"/>
  <c r="T40" i="1" s="1"/>
  <c r="I28" i="1"/>
  <c r="S28" i="1" s="1"/>
  <c r="K18" i="1"/>
  <c r="U18" i="1" s="1"/>
  <c r="J52" i="1"/>
  <c r="T52" i="1" s="1"/>
  <c r="I53" i="1"/>
  <c r="S53" i="1" s="1"/>
  <c r="J17" i="1"/>
  <c r="T17" i="1" s="1"/>
  <c r="J51" i="1"/>
  <c r="T51" i="1" s="1"/>
  <c r="I48" i="1"/>
  <c r="S48" i="1" s="1"/>
  <c r="J16" i="1"/>
  <c r="T16" i="1" s="1"/>
  <c r="J50" i="1"/>
  <c r="T50" i="1" s="1"/>
  <c r="I16" i="1"/>
  <c r="S16" i="1" s="1"/>
  <c r="K31" i="1"/>
  <c r="U31" i="1" s="1"/>
  <c r="I15" i="1"/>
  <c r="S15" i="1" s="1"/>
  <c r="J49" i="1"/>
  <c r="T49" i="1" s="1"/>
  <c r="J28" i="1"/>
  <c r="T28" i="1" s="1"/>
  <c r="K11" i="1"/>
  <c r="U11" i="1" s="1"/>
  <c r="I44" i="1"/>
  <c r="S44" i="1" s="1"/>
  <c r="I14" i="1"/>
  <c r="S14" i="1" s="1"/>
  <c r="K43" i="1"/>
  <c r="U43" i="1" s="1"/>
  <c r="K27" i="1"/>
  <c r="U27" i="1" s="1"/>
  <c r="J11" i="1"/>
  <c r="T11" i="1" s="1"/>
  <c r="K57" i="1"/>
  <c r="U57" i="1" s="1"/>
  <c r="K25" i="1"/>
  <c r="U25" i="1" s="1"/>
  <c r="I34" i="1"/>
  <c r="S34" i="1" s="1"/>
  <c r="J25" i="1"/>
  <c r="T25" i="1" s="1"/>
  <c r="K40" i="1"/>
  <c r="U40" i="1" s="1"/>
  <c r="I32" i="1"/>
  <c r="S32" i="1" s="1"/>
  <c r="J24" i="1"/>
  <c r="T24" i="1" s="1"/>
  <c r="K39" i="1"/>
  <c r="U39" i="1" s="1"/>
  <c r="I21" i="1"/>
  <c r="S21" i="1" s="1"/>
  <c r="J18" i="1"/>
  <c r="T18" i="1" s="1"/>
  <c r="K51" i="1"/>
  <c r="U51" i="1" s="1"/>
  <c r="I49" i="1"/>
  <c r="S49" i="1" s="1"/>
  <c r="J35" i="1"/>
  <c r="T35" i="1" s="1"/>
  <c r="I18" i="1"/>
  <c r="S18" i="1" s="1"/>
  <c r="K50" i="1"/>
  <c r="U50" i="1" s="1"/>
  <c r="I17" i="1"/>
  <c r="S17" i="1" s="1"/>
  <c r="K15" i="1"/>
  <c r="U15" i="1" s="1"/>
  <c r="K49" i="1"/>
  <c r="U49" i="1" s="1"/>
  <c r="I45" i="1"/>
  <c r="S45" i="1" s="1"/>
  <c r="I13" i="1"/>
  <c r="S13" i="1" s="1"/>
  <c r="K10" i="1"/>
  <c r="U10" i="1" s="1"/>
  <c r="I37" i="1"/>
  <c r="S37" i="1" s="1"/>
  <c r="I12" i="1"/>
  <c r="S12" i="1" s="1"/>
  <c r="K42" i="1"/>
  <c r="U42" i="1" s="1"/>
  <c r="K26" i="1"/>
  <c r="U26" i="1" s="1"/>
  <c r="J10" i="1"/>
  <c r="T10" i="1" s="1"/>
  <c r="I35" i="1"/>
  <c r="S35" i="1" s="1"/>
  <c r="K41" i="1"/>
  <c r="U41" i="1" s="1"/>
  <c r="F5" i="1"/>
  <c r="O5" i="1" s="1"/>
  <c r="J41" i="1"/>
  <c r="T41" i="1" s="1"/>
  <c r="I33" i="1"/>
  <c r="S33" i="1" s="1"/>
  <c r="K24" i="1"/>
  <c r="U24" i="1" s="1"/>
  <c r="J56" i="1"/>
  <c r="T56" i="1" s="1"/>
  <c r="G4" i="1"/>
  <c r="P4" i="1" s="1"/>
  <c r="K55" i="1"/>
  <c r="U55" i="1" s="1"/>
  <c r="I4" i="1"/>
  <c r="S4" i="1" s="1"/>
  <c r="J36" i="1"/>
  <c r="T36" i="1" s="1"/>
  <c r="I20" i="1"/>
  <c r="S20" i="1" s="1"/>
  <c r="K35" i="1"/>
  <c r="U35" i="1" s="1"/>
  <c r="I19" i="1"/>
  <c r="S19" i="1" s="1"/>
  <c r="K16" i="1"/>
  <c r="U16" i="1" s="1"/>
  <c r="K32" i="1"/>
  <c r="U32" i="1" s="1"/>
  <c r="I47" i="1"/>
  <c r="S47" i="1" s="1"/>
  <c r="J32" i="1"/>
  <c r="T32" i="1" s="1"/>
  <c r="I46" i="1"/>
  <c r="S46" i="1" s="1"/>
  <c r="J12" i="1"/>
  <c r="T12" i="1" s="1"/>
  <c r="I43" i="1"/>
  <c r="S43" i="1" s="1"/>
  <c r="J43" i="1"/>
  <c r="T43" i="1" s="1"/>
  <c r="J27" i="1"/>
  <c r="T27" i="1" s="1"/>
  <c r="I36" i="1"/>
  <c r="S36" i="1" s="1"/>
  <c r="I5" i="1"/>
  <c r="S5" i="1" s="1"/>
  <c r="J42" i="1"/>
  <c r="T42" i="1" s="1"/>
  <c r="J26" i="1"/>
  <c r="T26" i="1" s="1"/>
  <c r="K9" i="1"/>
  <c r="U9" i="1" s="1"/>
  <c r="K48" i="1"/>
  <c r="U48" i="1" s="1"/>
  <c r="K23" i="1"/>
  <c r="U23" i="1" s="1"/>
  <c r="I52" i="1"/>
  <c r="S52" i="1" s="1"/>
  <c r="J8" i="1"/>
  <c r="T8" i="1" s="1"/>
  <c r="K4" i="1"/>
  <c r="U4" i="1" s="1"/>
  <c r="K34" i="1"/>
  <c r="U34" i="1" s="1"/>
  <c r="J9" i="1"/>
  <c r="T9" i="1" s="1"/>
  <c r="I31" i="1"/>
  <c r="S31" i="1" s="1"/>
  <c r="J4" i="1"/>
  <c r="T4" i="1" s="1"/>
  <c r="J48" i="1"/>
  <c r="T48" i="1" s="1"/>
  <c r="J34" i="1"/>
  <c r="T34" i="1" s="1"/>
  <c r="J20" i="1"/>
  <c r="T20" i="1" s="1"/>
  <c r="K8" i="1"/>
  <c r="U8" i="1" s="1"/>
  <c r="I51" i="1"/>
  <c r="S51" i="1" s="1"/>
  <c r="I30" i="1"/>
  <c r="S30" i="1" s="1"/>
  <c r="K58" i="1"/>
  <c r="U58" i="1" s="1"/>
  <c r="K47" i="1"/>
  <c r="U47" i="1" s="1"/>
  <c r="K33" i="1"/>
  <c r="U33" i="1" s="1"/>
  <c r="K19" i="1"/>
  <c r="U19" i="1" s="1"/>
  <c r="I50" i="1"/>
  <c r="S50" i="1" s="1"/>
  <c r="I29" i="1"/>
  <c r="S29" i="1" s="1"/>
  <c r="J58" i="1"/>
  <c r="T58" i="1" s="1"/>
  <c r="J44" i="1"/>
  <c r="T44" i="1" s="1"/>
  <c r="J33" i="1"/>
  <c r="T33" i="1" s="1"/>
  <c r="J19" i="1"/>
  <c r="T19" i="1" s="1"/>
  <c r="K7" i="1"/>
  <c r="U7" i="1" s="1"/>
  <c r="K17" i="1"/>
  <c r="U17" i="1" s="1"/>
  <c r="J6" i="1"/>
  <c r="T6" i="1" s="1"/>
  <c r="I27" i="1"/>
  <c r="S27" i="1" s="1"/>
  <c r="J47" i="1"/>
  <c r="T47" i="1" s="1"/>
  <c r="J23" i="1"/>
  <c r="T23" i="1" s="1"/>
  <c r="I58" i="1"/>
  <c r="S58" i="1" s="1"/>
  <c r="K54" i="1"/>
  <c r="U54" i="1" s="1"/>
  <c r="K30" i="1"/>
  <c r="U30" i="1" s="1"/>
  <c r="K22" i="1"/>
  <c r="U22" i="1" s="1"/>
  <c r="I57" i="1"/>
  <c r="S57" i="1" s="1"/>
  <c r="I9" i="1"/>
  <c r="S9" i="1" s="1"/>
  <c r="J46" i="1"/>
  <c r="T46" i="1" s="1"/>
  <c r="J30" i="1"/>
  <c r="T30" i="1" s="1"/>
  <c r="I56" i="1"/>
  <c r="S56" i="1" s="1"/>
  <c r="I40" i="1"/>
  <c r="S40" i="1" s="1"/>
  <c r="I24" i="1"/>
  <c r="S24" i="1" s="1"/>
  <c r="I8" i="1"/>
  <c r="S8" i="1" s="1"/>
  <c r="K53" i="1"/>
  <c r="U53" i="1" s="1"/>
  <c r="K45" i="1"/>
  <c r="U45" i="1" s="1"/>
  <c r="K37" i="1"/>
  <c r="U37" i="1" s="1"/>
  <c r="K29" i="1"/>
  <c r="U29" i="1" s="1"/>
  <c r="K21" i="1"/>
  <c r="U21" i="1" s="1"/>
  <c r="K13" i="1"/>
  <c r="U13" i="1" s="1"/>
  <c r="K5" i="1"/>
  <c r="U5" i="1" s="1"/>
  <c r="I11" i="1"/>
  <c r="S11" i="1" s="1"/>
  <c r="J39" i="1"/>
  <c r="T39" i="1" s="1"/>
  <c r="J7" i="1"/>
  <c r="T7" i="1" s="1"/>
  <c r="I42" i="1"/>
  <c r="S42" i="1" s="1"/>
  <c r="I10" i="1"/>
  <c r="S10" i="1" s="1"/>
  <c r="K46" i="1"/>
  <c r="U46" i="1" s="1"/>
  <c r="K14" i="1"/>
  <c r="U14" i="1" s="1"/>
  <c r="I41" i="1"/>
  <c r="S41" i="1" s="1"/>
  <c r="J54" i="1"/>
  <c r="T54" i="1" s="1"/>
  <c r="J38" i="1"/>
  <c r="T38" i="1" s="1"/>
  <c r="J14" i="1"/>
  <c r="T14" i="1" s="1"/>
  <c r="I39" i="1"/>
  <c r="S39" i="1" s="1"/>
  <c r="I23" i="1"/>
  <c r="S23" i="1" s="1"/>
  <c r="I7" i="1"/>
  <c r="S7" i="1" s="1"/>
  <c r="J53" i="1"/>
  <c r="T53" i="1" s="1"/>
  <c r="J45" i="1"/>
  <c r="T45" i="1" s="1"/>
  <c r="J37" i="1"/>
  <c r="T37" i="1" s="1"/>
  <c r="J29" i="1"/>
  <c r="T29" i="1" s="1"/>
  <c r="J21" i="1"/>
  <c r="T21" i="1" s="1"/>
  <c r="J13" i="1"/>
  <c r="T13" i="1" s="1"/>
  <c r="J5" i="1"/>
  <c r="T5" i="1" s="1"/>
  <c r="J55" i="1"/>
  <c r="T55" i="1" s="1"/>
  <c r="J31" i="1"/>
  <c r="T31" i="1" s="1"/>
  <c r="J15" i="1"/>
  <c r="T15" i="1" s="1"/>
  <c r="I26" i="1"/>
  <c r="S26" i="1" s="1"/>
  <c r="K38" i="1"/>
  <c r="U38" i="1" s="1"/>
  <c r="K6" i="1"/>
  <c r="U6" i="1" s="1"/>
  <c r="I25" i="1"/>
  <c r="S25" i="1" s="1"/>
  <c r="J22" i="1"/>
  <c r="T22" i="1" s="1"/>
  <c r="I55" i="1"/>
  <c r="S55" i="1" s="1"/>
  <c r="I54" i="1"/>
  <c r="S54" i="1" s="1"/>
  <c r="I38" i="1"/>
  <c r="S38" i="1" s="1"/>
  <c r="I22" i="1"/>
  <c r="S22" i="1" s="1"/>
  <c r="I6" i="1"/>
  <c r="S6" i="1" s="1"/>
  <c r="K52" i="1"/>
  <c r="U52" i="1" s="1"/>
  <c r="K44" i="1"/>
  <c r="U44" i="1" s="1"/>
  <c r="K36" i="1"/>
  <c r="U36" i="1" s="1"/>
  <c r="K28" i="1"/>
  <c r="U28" i="1" s="1"/>
  <c r="K20" i="1"/>
  <c r="U20" i="1" s="1"/>
  <c r="K12" i="1"/>
  <c r="U12" i="1" s="1"/>
  <c r="N5" i="1" a="1"/>
  <c r="R32" i="1" a="1"/>
  <c r="R23" i="1" a="1"/>
  <c r="R8" i="1" a="1"/>
  <c r="R14" i="1" a="1"/>
  <c r="R58" i="1" a="1"/>
  <c r="R20" i="1" a="1"/>
  <c r="R18" i="1" a="1"/>
  <c r="R17" i="1" a="1"/>
  <c r="R6" i="1" a="1"/>
  <c r="R33" i="1" a="1"/>
  <c r="R12" i="1" a="1"/>
  <c r="R10" i="1" a="1"/>
  <c r="R13" i="1" a="1"/>
  <c r="R40" i="1" a="1"/>
  <c r="R43" i="1" a="1"/>
  <c r="R52" i="1" a="1"/>
  <c r="R38" i="1" a="1"/>
  <c r="R53" i="1" a="1"/>
  <c r="R29" i="1" a="1"/>
  <c r="R11" i="1" a="1"/>
  <c r="R19" i="1" a="1"/>
  <c r="R48" i="1" a="1"/>
  <c r="R51" i="1" a="1"/>
  <c r="R44" i="1" a="1"/>
  <c r="R4" i="1" a="1"/>
  <c r="R54" i="1" a="1"/>
  <c r="R24" i="1" a="1"/>
  <c r="R49" i="1" a="1"/>
  <c r="R16" i="1" a="1"/>
  <c r="R25" i="1" a="1"/>
  <c r="R41" i="1" a="1"/>
  <c r="R28" i="1" a="1"/>
  <c r="R37" i="1" a="1"/>
  <c r="R55" i="1" a="1"/>
  <c r="R26" i="1" a="1"/>
  <c r="R36" i="1" a="1"/>
  <c r="R50" i="1" a="1"/>
  <c r="R22" i="1" a="1"/>
  <c r="R9" i="1" a="1"/>
  <c r="R21" i="1" a="1"/>
  <c r="R39" i="1" a="1"/>
  <c r="R15" i="1" a="1"/>
  <c r="R5" i="1" a="1"/>
  <c r="R31" i="1" a="1"/>
  <c r="R57" i="1" a="1"/>
  <c r="N4" i="1" a="1"/>
  <c r="R45" i="1" a="1"/>
  <c r="R27" i="1" a="1"/>
  <c r="R56" i="1" a="1"/>
  <c r="R47" i="1" a="1"/>
  <c r="R34" i="1" a="1"/>
  <c r="R30" i="1" a="1"/>
  <c r="R42" i="1" a="1"/>
  <c r="R46" i="1" a="1"/>
  <c r="R35" i="1" a="1"/>
  <c r="R7" i="1" a="1"/>
  <c r="R12" i="1" l="1"/>
  <c r="R17" i="1"/>
  <c r="R35" i="1"/>
  <c r="R20" i="1"/>
  <c r="R37" i="1"/>
  <c r="R32" i="1"/>
  <c r="R16" i="1"/>
  <c r="R4" i="1"/>
  <c r="R13" i="1"/>
  <c r="R45" i="1"/>
  <c r="R34" i="1"/>
  <c r="R48" i="1"/>
  <c r="R5" i="1"/>
  <c r="R36" i="1"/>
  <c r="R53" i="1"/>
  <c r="R43" i="1"/>
  <c r="R33" i="1"/>
  <c r="R18" i="1"/>
  <c r="R46" i="1"/>
  <c r="R14" i="1"/>
  <c r="R28" i="1"/>
  <c r="N5" i="1"/>
  <c r="R49" i="1"/>
  <c r="R44" i="1"/>
  <c r="R21" i="1"/>
  <c r="N4" i="1"/>
  <c r="R47" i="1"/>
  <c r="R19" i="1"/>
  <c r="R15" i="1"/>
  <c r="R30" i="1"/>
  <c r="R51" i="1"/>
  <c r="R31" i="1"/>
  <c r="R50" i="1"/>
  <c r="R29" i="1"/>
  <c r="R52" i="1"/>
  <c r="R26" i="1"/>
  <c r="R8" i="1"/>
  <c r="R41" i="1"/>
  <c r="R24" i="1"/>
  <c r="R40" i="1"/>
  <c r="R56" i="1"/>
  <c r="R42" i="1"/>
  <c r="R9" i="1"/>
  <c r="R57" i="1"/>
  <c r="R22" i="1"/>
  <c r="R11" i="1"/>
  <c r="R38" i="1"/>
  <c r="R10" i="1"/>
  <c r="R6" i="1"/>
  <c r="R7" i="1"/>
  <c r="R58" i="1"/>
  <c r="R55" i="1"/>
  <c r="R23" i="1"/>
  <c r="R25" i="1"/>
  <c r="R54" i="1"/>
  <c r="R39" i="1"/>
  <c r="R2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<sst xmlns="http://schemas.openxmlformats.org/spreadsheetml/2006/main" count="26" uniqueCount="13">
  <si>
    <t>URL</t>
    <phoneticPr fontId="1" type="noConversion"/>
  </si>
  <si>
    <t>Main</t>
    <phoneticPr fontId="1" type="noConversion"/>
  </si>
  <si>
    <t>get_main_data/</t>
    <phoneticPr fontId="1" type="noConversion"/>
  </si>
  <si>
    <t>Sub</t>
    <phoneticPr fontId="1" type="noConversion"/>
  </si>
  <si>
    <t>get_sub_data/</t>
    <phoneticPr fontId="1" type="noConversion"/>
  </si>
  <si>
    <t>Date</t>
    <phoneticPr fontId="1" type="noConversion"/>
  </si>
  <si>
    <t>http://192.168.0.2:5000/</t>
    <phoneticPr fontId="1" type="noConversion"/>
  </si>
  <si>
    <t>Main</t>
    <phoneticPr fontId="1" type="noConversion"/>
  </si>
  <si>
    <t>통화명</t>
    <phoneticPr fontId="1" type="noConversion"/>
  </si>
  <si>
    <t>환율(원)</t>
    <phoneticPr fontId="1" type="noConversion"/>
  </si>
  <si>
    <t>Sub</t>
    <phoneticPr fontId="1" type="noConversion"/>
  </si>
  <si>
    <t>Cross Rate(US$)</t>
    <phoneticPr fontId="1" type="noConversion"/>
  </si>
  <si>
    <t>Date: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</si>
</sst>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3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W$4" max="30000" page="10" val="1500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628650</xdr:colOff>
          <xdr:row>0</xdr:row>
          <xdr:rowOff>95250</xdr:rowOff>
        </xdr:from>
        <xdr:to>
          <xdr:col>16</xdr:col>
          <xdr:colOff>371475</xdr:colOff>
          <xdr:row>0</xdr:row>
          <xdr:rowOff>695325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192.168.0.2:5000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678C7-081F-48A0-AB27-5B7F6B4D47D1}">
  <sheetPr codeName="Sheet1"/>
  <dimension ref="A1:W58"/>
  <sheetViews>
    <sheetView tabSelected="1" topLeftCell="M1" workbookViewId="0">
      <selection activeCell="Y5" sqref="Y5"/>
    </sheetView>
  </sheetViews>
  <sheetFormatPr defaultRowHeight="16.5" x14ac:dyDescent="0.3"/>
  <cols>
    <col min="1" max="12" width="0" hidden="1" customWidth="1"/>
    <col min="13" max="13" width="7.875" customWidth="1"/>
    <col min="15" max="15" width="0" hidden="1" customWidth="1"/>
    <col min="19" max="19" width="0" hidden="1" customWidth="1"/>
    <col min="23" max="23" width="0" hidden="1" customWidth="1"/>
  </cols>
  <sheetData>
    <row r="1" spans="1:23" ht="59.25" customHeight="1" x14ac:dyDescent="0.3">
      <c r="M1" s="3" t="s">
        <v>12</v>
      </c>
      <c r="N1" s="3" t="str">
        <f ca="1">MID(W3,1, LEN(W3)-1)</f>
        <v>2024-01-19</v>
      </c>
    </row>
    <row r="2" spans="1:23" x14ac:dyDescent="0.3">
      <c r="A2">
        <v>0</v>
      </c>
      <c r="B2" t="s">
        <v>0</v>
      </c>
      <c r="C2" t="s">
        <v>1</v>
      </c>
      <c r="D2" t="s">
        <v>3</v>
      </c>
      <c r="F2" t="s">
        <v>7</v>
      </c>
      <c r="I2" t="s">
        <v>10</v>
      </c>
      <c r="N2" t="s">
        <v>7</v>
      </c>
      <c r="O2" t="s">
        <v>7</v>
      </c>
      <c r="R2" t="s">
        <v>10</v>
      </c>
      <c r="S2" t="s">
        <v>10</v>
      </c>
      <c r="W2" t="s">
        <v>5</v>
      </c>
    </row>
    <row r="3" spans="1:23" x14ac:dyDescent="0.3">
      <c r="A3">
        <v>1</v>
      </c>
      <c r="B3" s="2" t="s">
        <v>6</v>
      </c>
      <c r="C3" t="s">
        <v>2</v>
      </c>
      <c r="D3" t="s">
        <v>4</v>
      </c>
      <c r="F3" t="s">
        <v>8</v>
      </c>
      <c r="G3" t="s">
        <v>9</v>
      </c>
      <c r="I3" t="s">
        <v>8</v>
      </c>
      <c r="J3" t="s">
        <v>9</v>
      </c>
      <c r="K3" t="s">
        <v>11</v>
      </c>
      <c r="N3" t="s">
        <v>8</v>
      </c>
      <c r="O3" t="s">
        <v>8</v>
      </c>
      <c r="P3" t="s">
        <v>9</v>
      </c>
      <c r="R3" t="s">
        <v>8</v>
      </c>
      <c r="S3" t="s">
        <v>8</v>
      </c>
      <c r="T3" t="s">
        <v>9</v>
      </c>
      <c r="U3" t="s">
        <v>11</v>
      </c>
      <c r="W3" s="1" t="str">
        <f ca="1">TEXT(TODAY() + W4-15000, "yyyy-mm-dd/")</f>
        <v>2024-01-19/</v>
      </c>
    </row>
    <row r="4" spans="1:23" x14ac:dyDescent="0.3">
      <c r="A4">
        <v>2</v>
      </c>
      <c r="F4" t="str">
        <f ca="1">_xlfn.WEBSERVICE(_xlfn.CONCAT($B$3,$C$3,$W$3,F$3,"-",$A2))</f>
        <v xml:space="preserve">"\ubbf8\uad6d \ub2ec\ub7ec (USD)"
</v>
      </c>
      <c r="G4" t="str">
        <f ca="1">_xlfn.WEBSERVICE(_xlfn.CONCAT($B$3,$C$3,$W$3,G$3,"-",$A2))</f>
        <v xml:space="preserve">"1,342.40"
</v>
      </c>
      <c r="I4" t="str">
        <f t="shared" ref="I4:K23" ca="1" si="0">_xlfn.WEBSERVICE(_xlfn.CONCAT($B$3,$D$3,$W$3,I$3,"-",$A2))</f>
        <v xml:space="preserve">"\uc77c\ubcf8 \uc5d4 (JPY) (100)"
</v>
      </c>
      <c r="J4" t="str">
        <f t="shared" ca="1" si="0"/>
        <v xml:space="preserve">"906.57"
</v>
      </c>
      <c r="K4" t="str">
        <f t="shared" ca="1" si="0"/>
        <v xml:space="preserve">"148.07500"
</v>
      </c>
      <c r="N4" t="str" cm="1">
        <f t="array" aca="1" ref="N4" ca="1">DecodeUnicode(O4)</f>
        <v>미국 달러 (USD)</v>
      </c>
      <c r="O4" t="str">
        <f ca="1">MID(F4, 2, LEN(F4)-3)</f>
        <v>\ubbf8\uad6d \ub2ec\ub7ec (USD)</v>
      </c>
      <c r="P4" t="str">
        <f ca="1">MID(G4, 2, LEN(G4)-3)</f>
        <v>1,342.40</v>
      </c>
      <c r="R4" t="str" cm="1">
        <f t="array" aca="1" ref="R4" ca="1">DecodeUnicode(S4)</f>
        <v>일본 엔 (JPY) (100)</v>
      </c>
      <c r="S4" t="str">
        <f t="shared" ref="S4:S35" ca="1" si="1">MID(I4, 2, LEN(I4)-3)</f>
        <v>\uc77c\ubcf8 \uc5d4 (JPY) (100)</v>
      </c>
      <c r="T4" t="str">
        <f t="shared" ref="T4:T35" ca="1" si="2">MID(J4, 2, LEN(J4)-3)</f>
        <v>906.57</v>
      </c>
      <c r="U4" t="str">
        <f t="shared" ref="U4:U35" ca="1" si="3">MID(K4, 2, LEN(K4)-3)</f>
        <v>148.07500</v>
      </c>
      <c r="W4">
        <v>15000</v>
      </c>
    </row>
    <row r="5" spans="1:23" x14ac:dyDescent="0.3">
      <c r="A5">
        <v>3</v>
      </c>
      <c r="F5" t="str">
        <f ca="1">_xlfn.WEBSERVICE(_xlfn.CONCAT($B$3,$C$3,$W$3,F$3,"-",$A3))</f>
        <v xml:space="preserve">"\uc704\uc548 (CNH)"
</v>
      </c>
      <c r="G5" t="str">
        <f ca="1">_xlfn.WEBSERVICE(_xlfn.CONCAT($B$3,$C$3,$W$3,G$3,"-",$A3))</f>
        <v xml:space="preserve">"186.06"
</v>
      </c>
      <c r="I5" t="str">
        <f t="shared" ca="1" si="0"/>
        <v xml:space="preserve">"\uc720\ub85c (EUR)"
</v>
      </c>
      <c r="J5" t="str">
        <f t="shared" ca="1" si="0"/>
        <v xml:space="preserve">"1,460.26"
</v>
      </c>
      <c r="K5" t="str">
        <f t="shared" ca="1" si="0"/>
        <v xml:space="preserve">"1.08780"
</v>
      </c>
      <c r="N5" t="str" cm="1">
        <f t="array" aca="1" ref="N5" ca="1">DecodeUnicode(O5)</f>
        <v>위안 (CNH)</v>
      </c>
      <c r="O5" t="str">
        <f ca="1">MID(F5, 2, LEN(F5)-3)</f>
        <v>\uc704\uc548 (CNH)</v>
      </c>
      <c r="P5" t="str">
        <f ca="1">MID(G5, 2, LEN(G5)-3)</f>
        <v>186.06</v>
      </c>
      <c r="R5" t="str" cm="1">
        <f t="array" aca="1" ref="R5" ca="1">DecodeUnicode(S5)</f>
        <v>유로 (EUR)</v>
      </c>
      <c r="S5" t="str">
        <f t="shared" ca="1" si="1"/>
        <v>\uc720\ub85c (EUR)</v>
      </c>
      <c r="T5" t="str">
        <f t="shared" ca="1" si="2"/>
        <v>1,460.26</v>
      </c>
      <c r="U5" t="str">
        <f t="shared" ca="1" si="3"/>
        <v>1.08780</v>
      </c>
    </row>
    <row r="6" spans="1:23" x14ac:dyDescent="0.3">
      <c r="A6">
        <v>4</v>
      </c>
      <c r="I6" t="str">
        <f t="shared" ca="1" si="0"/>
        <v xml:space="preserve">"\uc601\uad6d \ud30c\uc6b4\ub4dc (GBP)"
</v>
      </c>
      <c r="J6" t="str">
        <f t="shared" ca="1" si="0"/>
        <v xml:space="preserve">"1,705.85"
</v>
      </c>
      <c r="K6" t="str">
        <f t="shared" ca="1" si="0"/>
        <v xml:space="preserve">"1.27075"
</v>
      </c>
      <c r="R6" t="str" cm="1">
        <f t="array" aca="1" ref="R6" ca="1">DecodeUnicode(S6)</f>
        <v>영국 파운드 (GBP)</v>
      </c>
      <c r="S6" t="str">
        <f t="shared" ca="1" si="1"/>
        <v>\uc601\uad6d \ud30c\uc6b4\ub4dc (GBP)</v>
      </c>
      <c r="T6" t="str">
        <f t="shared" ca="1" si="2"/>
        <v>1,705.85</v>
      </c>
      <c r="U6" t="str">
        <f t="shared" ca="1" si="3"/>
        <v>1.27075</v>
      </c>
    </row>
    <row r="7" spans="1:23" x14ac:dyDescent="0.3">
      <c r="A7">
        <v>5</v>
      </c>
      <c r="I7" t="str">
        <f t="shared" ca="1" si="0"/>
        <v xml:space="preserve">"\uce90\ub098\ub2e4 \ub2ec\ub7ec (CAD)"
</v>
      </c>
      <c r="J7" t="str">
        <f t="shared" ca="1" si="0"/>
        <v xml:space="preserve">"995.29"
</v>
      </c>
      <c r="K7" t="str">
        <f t="shared" ca="1" si="0"/>
        <v xml:space="preserve">"1.34875"
</v>
      </c>
      <c r="R7" t="str" cm="1">
        <f t="array" aca="1" ref="R7" ca="1">DecodeUnicode(S7)</f>
        <v>캐나다 달러 (CAD)</v>
      </c>
      <c r="S7" t="str">
        <f t="shared" ca="1" si="1"/>
        <v>\uce90\ub098\ub2e4 \ub2ec\ub7ec (CAD)</v>
      </c>
      <c r="T7" t="str">
        <f t="shared" ca="1" si="2"/>
        <v>995.29</v>
      </c>
      <c r="U7" t="str">
        <f t="shared" ca="1" si="3"/>
        <v>1.34875</v>
      </c>
    </row>
    <row r="8" spans="1:23" x14ac:dyDescent="0.3">
      <c r="A8">
        <v>6</v>
      </c>
      <c r="I8" t="str">
        <f t="shared" ca="1" si="0"/>
        <v xml:space="preserve">"\uc2a4\uc704\uc2a4 \ud504\ub791 (CHF)"
</v>
      </c>
      <c r="J8" t="str">
        <f t="shared" ca="1" si="0"/>
        <v xml:space="preserve">"1,546.54"
</v>
      </c>
      <c r="K8" t="str">
        <f t="shared" ca="1" si="0"/>
        <v xml:space="preserve">"0.86800"
</v>
      </c>
      <c r="R8" t="str" cm="1">
        <f t="array" aca="1" ref="R8" ca="1">DecodeUnicode(S8)</f>
        <v>스위스 프랑 (CHF)</v>
      </c>
      <c r="S8" t="str">
        <f t="shared" ca="1" si="1"/>
        <v>\uc2a4\uc704\uc2a4 \ud504\ub791 (CHF)</v>
      </c>
      <c r="T8" t="str">
        <f t="shared" ca="1" si="2"/>
        <v>1,546.54</v>
      </c>
      <c r="U8" t="str">
        <f t="shared" ca="1" si="3"/>
        <v>0.86800</v>
      </c>
    </row>
    <row r="9" spans="1:23" x14ac:dyDescent="0.3">
      <c r="A9">
        <v>7</v>
      </c>
      <c r="I9" t="str">
        <f t="shared" ca="1" si="0"/>
        <v xml:space="preserve">"\ud638\uc8fc \ub2ec\ub7ec (AUD)"
</v>
      </c>
      <c r="J9" t="str">
        <f t="shared" ca="1" si="0"/>
        <v xml:space="preserve">"882.70"
</v>
      </c>
      <c r="K9" t="str">
        <f t="shared" ca="1" si="0"/>
        <v xml:space="preserve">"0.65755"
</v>
      </c>
      <c r="R9" t="str" cm="1">
        <f t="array" aca="1" ref="R9" ca="1">DecodeUnicode(S9)</f>
        <v>호주 달러 (AUD)</v>
      </c>
      <c r="S9" t="str">
        <f t="shared" ca="1" si="1"/>
        <v>\ud638\uc8fc \ub2ec\ub7ec (AUD)</v>
      </c>
      <c r="T9" t="str">
        <f t="shared" ca="1" si="2"/>
        <v>882.70</v>
      </c>
      <c r="U9" t="str">
        <f t="shared" ca="1" si="3"/>
        <v>0.65755</v>
      </c>
    </row>
    <row r="10" spans="1:23" x14ac:dyDescent="0.3">
      <c r="A10">
        <v>8</v>
      </c>
      <c r="I10" t="str">
        <f t="shared" ca="1" si="0"/>
        <v xml:space="preserve">"\ub274\uc9c8\ub79c\ub4dc \ub2ec\ub7ec (NZD)"
</v>
      </c>
      <c r="J10" t="str">
        <f t="shared" ca="1" si="0"/>
        <v xml:space="preserve">"821.21"
</v>
      </c>
      <c r="K10" t="str">
        <f t="shared" ca="1" si="0"/>
        <v xml:space="preserve">"0.61175"
</v>
      </c>
      <c r="R10" t="str" cm="1">
        <f t="array" aca="1" ref="R10" ca="1">DecodeUnicode(S10)</f>
        <v>뉴질랜드 달러 (NZD)</v>
      </c>
      <c r="S10" t="str">
        <f t="shared" ca="1" si="1"/>
        <v>\ub274\uc9c8\ub79c\ub4dc \ub2ec\ub7ec (NZD)</v>
      </c>
      <c r="T10" t="str">
        <f t="shared" ca="1" si="2"/>
        <v>821.21</v>
      </c>
      <c r="U10" t="str">
        <f t="shared" ca="1" si="3"/>
        <v>0.61175</v>
      </c>
    </row>
    <row r="11" spans="1:23" x14ac:dyDescent="0.3">
      <c r="A11">
        <v>9</v>
      </c>
      <c r="I11" t="str">
        <f t="shared" ca="1" si="0"/>
        <v xml:space="preserve">"\ud64d\ucf69 \ub2ec\ub7ec (HKD)"
</v>
      </c>
      <c r="J11" t="str">
        <f t="shared" ca="1" si="0"/>
        <v xml:space="preserve">"171.65"
</v>
      </c>
      <c r="K11" t="str">
        <f t="shared" ca="1" si="0"/>
        <v xml:space="preserve">"7.82035"
</v>
      </c>
      <c r="R11" t="str" cm="1">
        <f t="array" aca="1" ref="R11" ca="1">DecodeUnicode(S11)</f>
        <v>홍콩 달러 (HKD)</v>
      </c>
      <c r="S11" t="str">
        <f t="shared" ca="1" si="1"/>
        <v>\ud64d\ucf69 \ub2ec\ub7ec (HKD)</v>
      </c>
      <c r="T11" t="str">
        <f t="shared" ca="1" si="2"/>
        <v>171.65</v>
      </c>
      <c r="U11" t="str">
        <f t="shared" ca="1" si="3"/>
        <v>7.82035</v>
      </c>
    </row>
    <row r="12" spans="1:23" x14ac:dyDescent="0.3">
      <c r="A12">
        <v>10</v>
      </c>
      <c r="I12" t="str">
        <f t="shared" ca="1" si="0"/>
        <v xml:space="preserve">"\ub300\ub9cc \ub2ec\ub7ec (TWD)"
</v>
      </c>
      <c r="J12" t="str">
        <f t="shared" ca="1" si="0"/>
        <v xml:space="preserve">"42.49"
</v>
      </c>
      <c r="K12" t="str">
        <f t="shared" ca="1" si="0"/>
        <v xml:space="preserve">"31.59700"
</v>
      </c>
      <c r="R12" t="str" cm="1">
        <f t="array" aca="1" ref="R12" ca="1">DecodeUnicode(S12)</f>
        <v>대만 달러 (TWD)</v>
      </c>
      <c r="S12" t="str">
        <f t="shared" ca="1" si="1"/>
        <v>\ub300\ub9cc \ub2ec\ub7ec (TWD)</v>
      </c>
      <c r="T12" t="str">
        <f t="shared" ca="1" si="2"/>
        <v>42.49</v>
      </c>
      <c r="U12" t="str">
        <f t="shared" ca="1" si="3"/>
        <v>31.59700</v>
      </c>
    </row>
    <row r="13" spans="1:23" x14ac:dyDescent="0.3">
      <c r="A13">
        <v>11</v>
      </c>
      <c r="I13" t="str">
        <f t="shared" ca="1" si="0"/>
        <v xml:space="preserve">"\ubabd\uace8 \ud22c\uadf8\ub9ad (MNT)"
</v>
      </c>
      <c r="J13" t="str">
        <f t="shared" ca="1" si="0"/>
        <v xml:space="preserve">"0.39"
</v>
      </c>
      <c r="K13" t="str">
        <f t="shared" ca="1" si="0"/>
        <v xml:space="preserve">"3,434.50000"
</v>
      </c>
      <c r="R13" t="str" cm="1">
        <f t="array" aca="1" ref="R13" ca="1">DecodeUnicode(S13)</f>
        <v>몽골 투그릭 (MNT)</v>
      </c>
      <c r="S13" t="str">
        <f t="shared" ca="1" si="1"/>
        <v>\ubabd\uace8 \ud22c\uadf8\ub9ad (MNT)</v>
      </c>
      <c r="T13" t="str">
        <f t="shared" ca="1" si="2"/>
        <v>0.39</v>
      </c>
      <c r="U13" t="str">
        <f t="shared" ca="1" si="3"/>
        <v>3,434.50000</v>
      </c>
    </row>
    <row r="14" spans="1:23" x14ac:dyDescent="0.3">
      <c r="A14">
        <v>12</v>
      </c>
      <c r="I14" t="str">
        <f t="shared" ca="1" si="0"/>
        <v xml:space="preserve">"\uce74\uc790\ud750\uc2a4\ud0c4 \ud161\uac8c (KZT)"
</v>
      </c>
      <c r="J14" t="str">
        <f t="shared" ca="1" si="0"/>
        <v xml:space="preserve">"2.97"
</v>
      </c>
      <c r="K14" t="str">
        <f t="shared" ca="1" si="0"/>
        <v xml:space="preserve">"451.59500"
</v>
      </c>
      <c r="R14" t="str" cm="1">
        <f t="array" aca="1" ref="R14" ca="1">DecodeUnicode(S14)</f>
        <v>카자흐스탄 텡게 (KZT)</v>
      </c>
      <c r="S14" t="str">
        <f t="shared" ca="1" si="1"/>
        <v>\uce74\uc790\ud750\uc2a4\ud0c4 \ud161\uac8c (KZT)</v>
      </c>
      <c r="T14" t="str">
        <f t="shared" ca="1" si="2"/>
        <v>2.97</v>
      </c>
      <c r="U14" t="str">
        <f t="shared" ca="1" si="3"/>
        <v>451.59500</v>
      </c>
    </row>
    <row r="15" spans="1:23" x14ac:dyDescent="0.3">
      <c r="A15">
        <v>13</v>
      </c>
      <c r="I15" t="str">
        <f t="shared" ca="1" si="0"/>
        <v xml:space="preserve">"\ud0dc\uad6d \ubc27 (THB)"
</v>
      </c>
      <c r="J15" t="str">
        <f t="shared" ca="1" si="0"/>
        <v xml:space="preserve">"37.76"
</v>
      </c>
      <c r="K15" t="str">
        <f t="shared" ca="1" si="0"/>
        <v xml:space="preserve">"35.55000"
</v>
      </c>
      <c r="R15" t="str" cm="1">
        <f t="array" aca="1" ref="R15" ca="1">DecodeUnicode(S15)</f>
        <v>태국 밧 (THB)</v>
      </c>
      <c r="S15" t="str">
        <f t="shared" ca="1" si="1"/>
        <v>\ud0dc\uad6d \ubc27 (THB)</v>
      </c>
      <c r="T15" t="str">
        <f t="shared" ca="1" si="2"/>
        <v>37.76</v>
      </c>
      <c r="U15" t="str">
        <f t="shared" ca="1" si="3"/>
        <v>35.55000</v>
      </c>
    </row>
    <row r="16" spans="1:23" x14ac:dyDescent="0.3">
      <c r="A16">
        <v>14</v>
      </c>
      <c r="I16" t="str">
        <f t="shared" ca="1" si="0"/>
        <v xml:space="preserve">"\uc2f1\uac00\ud3ec\ub974 \ub2ec\ub7ec (SGD)"
</v>
      </c>
      <c r="J16" t="str">
        <f t="shared" ca="1" si="0"/>
        <v xml:space="preserve">"998.70"
</v>
      </c>
      <c r="K16" t="str">
        <f t="shared" ca="1" si="0"/>
        <v xml:space="preserve">"1.34415"
</v>
      </c>
      <c r="R16" t="str" cm="1">
        <f t="array" aca="1" ref="R16" ca="1">DecodeUnicode(S16)</f>
        <v>싱가포르 달러 (SGD)</v>
      </c>
      <c r="S16" t="str">
        <f t="shared" ca="1" si="1"/>
        <v>\uc2f1\uac00\ud3ec\ub974 \ub2ec\ub7ec (SGD)</v>
      </c>
      <c r="T16" t="str">
        <f t="shared" ca="1" si="2"/>
        <v>998.70</v>
      </c>
      <c r="U16" t="str">
        <f t="shared" ca="1" si="3"/>
        <v>1.34415</v>
      </c>
    </row>
    <row r="17" spans="1:21" x14ac:dyDescent="0.3">
      <c r="A17">
        <v>15</v>
      </c>
      <c r="I17" t="str">
        <f t="shared" ca="1" si="0"/>
        <v xml:space="preserve">"\uc778\ub3c4\ub124\uc2dc\uc544 \ub8e8\ud53c\uc544 (IDR) (100)"
</v>
      </c>
      <c r="J17" t="str">
        <f t="shared" ca="1" si="0"/>
        <v xml:space="preserve">"8.59"
</v>
      </c>
      <c r="K17" t="str">
        <f t="shared" ca="1" si="0"/>
        <v xml:space="preserve">"15,620.00000"
</v>
      </c>
      <c r="R17" t="str" cm="1">
        <f t="array" aca="1" ref="R17" ca="1">DecodeUnicode(S17)</f>
        <v>인도네시아 루피아 (IDR) (100)</v>
      </c>
      <c r="S17" t="str">
        <f t="shared" ca="1" si="1"/>
        <v>\uc778\ub3c4\ub124\uc2dc\uc544 \ub8e8\ud53c\uc544 (IDR) (100)</v>
      </c>
      <c r="T17" t="str">
        <f t="shared" ca="1" si="2"/>
        <v>8.59</v>
      </c>
      <c r="U17" t="str">
        <f t="shared" ca="1" si="3"/>
        <v>15,620.00000</v>
      </c>
    </row>
    <row r="18" spans="1:21" x14ac:dyDescent="0.3">
      <c r="A18">
        <v>16</v>
      </c>
      <c r="I18" t="str">
        <f t="shared" ca="1" si="0"/>
        <v xml:space="preserve">"\ub9d0\ub808\uc774\uc2dc\uc544 \ub9c1\uae43 (MYR)"
</v>
      </c>
      <c r="J18" t="str">
        <f t="shared" ca="1" si="0"/>
        <v xml:space="preserve">"284.53"
</v>
      </c>
      <c r="K18" t="str">
        <f t="shared" ca="1" si="0"/>
        <v xml:space="preserve">"4.71800"
</v>
      </c>
      <c r="R18" t="str" cm="1">
        <f t="array" aca="1" ref="R18" ca="1">DecodeUnicode(S18)</f>
        <v>말레이시아 링깃 (MYR)</v>
      </c>
      <c r="S18" t="str">
        <f t="shared" ca="1" si="1"/>
        <v>\ub9d0\ub808\uc774\uc2dc\uc544 \ub9c1\uae43 (MYR)</v>
      </c>
      <c r="T18" t="str">
        <f t="shared" ca="1" si="2"/>
        <v>284.53</v>
      </c>
      <c r="U18" t="str">
        <f t="shared" ca="1" si="3"/>
        <v>4.71800</v>
      </c>
    </row>
    <row r="19" spans="1:21" x14ac:dyDescent="0.3">
      <c r="A19">
        <v>17</v>
      </c>
      <c r="I19" t="str">
        <f t="shared" ca="1" si="0"/>
        <v xml:space="preserve">"\ud544\ub9ac\ud540 \ud398\uc18c (PHP)"
</v>
      </c>
      <c r="J19" t="str">
        <f t="shared" ca="1" si="0"/>
        <v xml:space="preserve">"24.04"
</v>
      </c>
      <c r="K19" t="str">
        <f t="shared" ca="1" si="0"/>
        <v xml:space="preserve">"55.84000"
</v>
      </c>
      <c r="R19" t="str" cm="1">
        <f t="array" aca="1" ref="R19" ca="1">DecodeUnicode(S19)</f>
        <v>필리핀 페소 (PHP)</v>
      </c>
      <c r="S19" t="str">
        <f t="shared" ca="1" si="1"/>
        <v>\ud544\ub9ac\ud540 \ud398\uc18c (PHP)</v>
      </c>
      <c r="T19" t="str">
        <f t="shared" ca="1" si="2"/>
        <v>24.04</v>
      </c>
      <c r="U19" t="str">
        <f t="shared" ca="1" si="3"/>
        <v>55.84000</v>
      </c>
    </row>
    <row r="20" spans="1:21" x14ac:dyDescent="0.3">
      <c r="A20">
        <v>18</v>
      </c>
      <c r="I20" t="str">
        <f t="shared" ca="1" si="0"/>
        <v xml:space="preserve">"\ubca0\ud2b8\ub0a8 \ub3d9 (VND) (100)"
</v>
      </c>
      <c r="J20" t="str">
        <f t="shared" ca="1" si="0"/>
        <v xml:space="preserve">"5.47"
</v>
      </c>
      <c r="K20" t="str">
        <f t="shared" ca="1" si="0"/>
        <v xml:space="preserve">"24,560.00000"
</v>
      </c>
      <c r="R20" t="str" cm="1">
        <f t="array" aca="1" ref="R20" ca="1">DecodeUnicode(S20)</f>
        <v>베트남 동 (VND) (100)</v>
      </c>
      <c r="S20" t="str">
        <f t="shared" ca="1" si="1"/>
        <v>\ubca0\ud2b8\ub0a8 \ub3d9 (VND) (100)</v>
      </c>
      <c r="T20" t="str">
        <f t="shared" ca="1" si="2"/>
        <v>5.47</v>
      </c>
      <c r="U20" t="str">
        <f t="shared" ca="1" si="3"/>
        <v>24,560.00000</v>
      </c>
    </row>
    <row r="21" spans="1:21" x14ac:dyDescent="0.3">
      <c r="A21">
        <v>19</v>
      </c>
      <c r="I21" t="str">
        <f t="shared" ca="1" si="0"/>
        <v xml:space="preserve">"\ube0c\ub8e8\ub098\uc774 \ub2ec\ub7ec (BND)"
</v>
      </c>
      <c r="J21" t="str">
        <f t="shared" ca="1" si="0"/>
        <v xml:space="preserve">"998.70"
</v>
      </c>
      <c r="K21" t="str">
        <f t="shared" ca="1" si="0"/>
        <v xml:space="preserve">"1.34415"
</v>
      </c>
      <c r="R21" t="str" cm="1">
        <f t="array" aca="1" ref="R21" ca="1">DecodeUnicode(S21)</f>
        <v>브루나이 달러 (BND)</v>
      </c>
      <c r="S21" t="str">
        <f t="shared" ca="1" si="1"/>
        <v>\ube0c\ub8e8\ub098\uc774 \ub2ec\ub7ec (BND)</v>
      </c>
      <c r="T21" t="str">
        <f t="shared" ca="1" si="2"/>
        <v>998.70</v>
      </c>
      <c r="U21" t="str">
        <f t="shared" ca="1" si="3"/>
        <v>1.34415</v>
      </c>
    </row>
    <row r="22" spans="1:21" x14ac:dyDescent="0.3">
      <c r="A22">
        <v>20</v>
      </c>
      <c r="I22" t="str">
        <f t="shared" ca="1" si="0"/>
        <v xml:space="preserve">"\uc778\ub3c4 \ub8e8\ud53c (INR)"
</v>
      </c>
      <c r="J22" t="str">
        <f t="shared" ca="1" si="0"/>
        <v xml:space="preserve">"16.14"
</v>
      </c>
      <c r="K22" t="str">
        <f t="shared" ca="1" si="0"/>
        <v xml:space="preserve">"83.16800"
</v>
      </c>
      <c r="R22" t="str" cm="1">
        <f t="array" aca="1" ref="R22" ca="1">DecodeUnicode(S22)</f>
        <v>인도 루피 (INR)</v>
      </c>
      <c r="S22" t="str">
        <f t="shared" ca="1" si="1"/>
        <v>\uc778\ub3c4 \ub8e8\ud53c (INR)</v>
      </c>
      <c r="T22" t="str">
        <f t="shared" ca="1" si="2"/>
        <v>16.14</v>
      </c>
      <c r="U22" t="str">
        <f t="shared" ca="1" si="3"/>
        <v>83.16800</v>
      </c>
    </row>
    <row r="23" spans="1:21" x14ac:dyDescent="0.3">
      <c r="A23">
        <v>21</v>
      </c>
      <c r="I23" t="str">
        <f t="shared" ca="1" si="0"/>
        <v xml:space="preserve">"\ud30c\ud0a4\uc2a4\ud0c4 \ub8e8\ud53c (PKR)"
</v>
      </c>
      <c r="J23" t="str">
        <f t="shared" ca="1" si="0"/>
        <v xml:space="preserve">"4.86"
</v>
      </c>
      <c r="K23" t="str">
        <f t="shared" ca="1" si="0"/>
        <v xml:space="preserve">"276.25000"
</v>
      </c>
      <c r="R23" t="str" cm="1">
        <f t="array" aca="1" ref="R23" ca="1">DecodeUnicode(S23)</f>
        <v>파키스탄 루피 (PKR)</v>
      </c>
      <c r="S23" t="str">
        <f t="shared" ca="1" si="1"/>
        <v>\ud30c\ud0a4\uc2a4\ud0c4 \ub8e8\ud53c (PKR)</v>
      </c>
      <c r="T23" t="str">
        <f t="shared" ca="1" si="2"/>
        <v>4.86</v>
      </c>
      <c r="U23" t="str">
        <f t="shared" ca="1" si="3"/>
        <v>276.25000</v>
      </c>
    </row>
    <row r="24" spans="1:21" x14ac:dyDescent="0.3">
      <c r="A24">
        <v>22</v>
      </c>
      <c r="I24" t="str">
        <f t="shared" ref="I24:K43" ca="1" si="4">_xlfn.WEBSERVICE(_xlfn.CONCAT($B$3,$D$3,$W$3,I$3,"-",$A22))</f>
        <v xml:space="preserve">"\ubc29\uae00\ub77c\ub370\uc2dc \ud0c0\uce74 (BDT)"
</v>
      </c>
      <c r="J24" t="str">
        <f t="shared" ca="1" si="4"/>
        <v xml:space="preserve">"12.23"
</v>
      </c>
      <c r="K24" t="str">
        <f t="shared" ca="1" si="4"/>
        <v xml:space="preserve">"109.75000"
</v>
      </c>
      <c r="R24" t="str" cm="1">
        <f t="array" aca="1" ref="R24" ca="1">DecodeUnicode(S24)</f>
        <v>방글라데시 타카 (BDT)</v>
      </c>
      <c r="S24" t="str">
        <f t="shared" ca="1" si="1"/>
        <v>\ubc29\uae00\ub77c\ub370\uc2dc \ud0c0\uce74 (BDT)</v>
      </c>
      <c r="T24" t="str">
        <f t="shared" ca="1" si="2"/>
        <v>12.23</v>
      </c>
      <c r="U24" t="str">
        <f t="shared" ca="1" si="3"/>
        <v>109.75000</v>
      </c>
    </row>
    <row r="25" spans="1:21" x14ac:dyDescent="0.3">
      <c r="A25">
        <v>23</v>
      </c>
      <c r="I25" t="str">
        <f t="shared" ca="1" si="4"/>
        <v xml:space="preserve">"\uce84\ubcf4\ub514\uc544 \ub9ac\uc5d8 (KHR)"
</v>
      </c>
      <c r="J25" t="str">
        <f t="shared" ca="1" si="4"/>
        <v xml:space="preserve">"0.33"
</v>
      </c>
      <c r="K25" t="str">
        <f t="shared" ca="1" si="4"/>
        <v xml:space="preserve">"4,076.00000"
</v>
      </c>
      <c r="R25" t="str" cm="1">
        <f t="array" aca="1" ref="R25" ca="1">DecodeUnicode(S25)</f>
        <v>캄보디아 리엘 (KHR)</v>
      </c>
      <c r="S25" t="str">
        <f t="shared" ca="1" si="1"/>
        <v>\uce84\ubcf4\ub514\uc544 \ub9ac\uc5d8 (KHR)</v>
      </c>
      <c r="T25" t="str">
        <f t="shared" ca="1" si="2"/>
        <v>0.33</v>
      </c>
      <c r="U25" t="str">
        <f t="shared" ca="1" si="3"/>
        <v>4,076.00000</v>
      </c>
    </row>
    <row r="26" spans="1:21" x14ac:dyDescent="0.3">
      <c r="A26">
        <v>24</v>
      </c>
      <c r="I26" t="str">
        <f t="shared" ca="1" si="4"/>
        <v xml:space="preserve">"\ub9c8\uce74\uc624 \ud30c\ud0c0\uce74 (MOP)"
</v>
      </c>
      <c r="J26" t="str">
        <f t="shared" ca="1" si="4"/>
        <v xml:space="preserve">"166.57"
</v>
      </c>
      <c r="K26" t="str">
        <f t="shared" ca="1" si="4"/>
        <v xml:space="preserve">"8.05900"
</v>
      </c>
      <c r="R26" t="str" cm="1">
        <f t="array" aca="1" ref="R26" ca="1">DecodeUnicode(S26)</f>
        <v>마카오 파타카 (MOP)</v>
      </c>
      <c r="S26" t="str">
        <f t="shared" ca="1" si="1"/>
        <v>\ub9c8\uce74\uc624 \ud30c\ud0c0\uce74 (MOP)</v>
      </c>
      <c r="T26" t="str">
        <f t="shared" ca="1" si="2"/>
        <v>166.57</v>
      </c>
      <c r="U26" t="str">
        <f t="shared" ca="1" si="3"/>
        <v>8.05900</v>
      </c>
    </row>
    <row r="27" spans="1:21" x14ac:dyDescent="0.3">
      <c r="A27">
        <v>25</v>
      </c>
      <c r="I27" t="str">
        <f t="shared" ca="1" si="4"/>
        <v xml:space="preserve">"\ub124\ud314 \ub8e8\ud53c (NPR)"
</v>
      </c>
      <c r="J27" t="str">
        <f t="shared" ca="1" si="4"/>
        <v xml:space="preserve">"10.09"
</v>
      </c>
      <c r="K27" t="str">
        <f t="shared" ca="1" si="4"/>
        <v xml:space="preserve">"133.00500"
</v>
      </c>
      <c r="R27" t="str" cm="1">
        <f t="array" aca="1" ref="R27" ca="1">DecodeUnicode(S27)</f>
        <v>네팔 루피 (NPR)</v>
      </c>
      <c r="S27" t="str">
        <f t="shared" ca="1" si="1"/>
        <v>\ub124\ud314 \ub8e8\ud53c (NPR)</v>
      </c>
      <c r="T27" t="str">
        <f t="shared" ca="1" si="2"/>
        <v>10.09</v>
      </c>
      <c r="U27" t="str">
        <f t="shared" ca="1" si="3"/>
        <v>133.00500</v>
      </c>
    </row>
    <row r="28" spans="1:21" x14ac:dyDescent="0.3">
      <c r="A28">
        <v>26</v>
      </c>
      <c r="I28" t="str">
        <f t="shared" ca="1" si="4"/>
        <v xml:space="preserve">"\uc2a4\ub9ac\ub791\uce74 \ub8e8\ud53c (LKR)"
</v>
      </c>
      <c r="J28" t="str">
        <f t="shared" ca="1" si="4"/>
        <v xml:space="preserve">"4.18"
</v>
      </c>
      <c r="K28" t="str">
        <f t="shared" ca="1" si="4"/>
        <v xml:space="preserve">"320.85000"
</v>
      </c>
      <c r="R28" t="str" cm="1">
        <f t="array" aca="1" ref="R28" ca="1">DecodeUnicode(S28)</f>
        <v>스리랑카 루피 (LKR)</v>
      </c>
      <c r="S28" t="str">
        <f t="shared" ca="1" si="1"/>
        <v>\uc2a4\ub9ac\ub791\uce74 \ub8e8\ud53c (LKR)</v>
      </c>
      <c r="T28" t="str">
        <f t="shared" ca="1" si="2"/>
        <v>4.18</v>
      </c>
      <c r="U28" t="str">
        <f t="shared" ca="1" si="3"/>
        <v>320.85000</v>
      </c>
    </row>
    <row r="29" spans="1:21" x14ac:dyDescent="0.3">
      <c r="A29">
        <v>27</v>
      </c>
      <c r="I29" t="str">
        <f t="shared" ca="1" si="4"/>
        <v xml:space="preserve">"\uc6b0\uc988\ubca0\ud0a4\uc2a4\ud0c4 \uc228 (UZS)"
</v>
      </c>
      <c r="J29" t="str">
        <f t="shared" ca="1" si="4"/>
        <v xml:space="preserve">"0.11"
</v>
      </c>
      <c r="K29" t="str">
        <f t="shared" ca="1" si="4"/>
        <v xml:space="preserve">"12,420.15000"
</v>
      </c>
      <c r="R29" t="str" cm="1">
        <f t="array" aca="1" ref="R29" ca="1">DecodeUnicode(S29)</f>
        <v>우즈베키스탄 숨 (UZS)</v>
      </c>
      <c r="S29" t="str">
        <f t="shared" ca="1" si="1"/>
        <v>\uc6b0\uc988\ubca0\ud0a4\uc2a4\ud0c4 \uc228 (UZS)</v>
      </c>
      <c r="T29" t="str">
        <f t="shared" ca="1" si="2"/>
        <v>0.11</v>
      </c>
      <c r="U29" t="str">
        <f t="shared" ca="1" si="3"/>
        <v>12,420.15000</v>
      </c>
    </row>
    <row r="30" spans="1:21" x14ac:dyDescent="0.3">
      <c r="A30">
        <v>28</v>
      </c>
      <c r="I30" t="str">
        <f t="shared" ca="1" si="4"/>
        <v xml:space="preserve">"\ubbf8\uc580\ub9c8 \uc9ef (MMK)"
</v>
      </c>
      <c r="J30" t="str">
        <f t="shared" ca="1" si="4"/>
        <v xml:space="preserve">"0.64"
</v>
      </c>
      <c r="K30" t="str">
        <f t="shared" ca="1" si="4"/>
        <v xml:space="preserve">"2,100.00000"
</v>
      </c>
      <c r="R30" t="str" cm="1">
        <f t="array" aca="1" ref="R30" ca="1">DecodeUnicode(S30)</f>
        <v>미얀마 짯 (MMK)</v>
      </c>
      <c r="S30" t="str">
        <f t="shared" ca="1" si="1"/>
        <v>\ubbf8\uc580\ub9c8 \uc9ef (MMK)</v>
      </c>
      <c r="T30" t="str">
        <f t="shared" ca="1" si="2"/>
        <v>0.64</v>
      </c>
      <c r="U30" t="str">
        <f t="shared" ca="1" si="3"/>
        <v>2,100.00000</v>
      </c>
    </row>
    <row r="31" spans="1:21" x14ac:dyDescent="0.3">
      <c r="A31">
        <v>29</v>
      </c>
      <c r="I31" t="str">
        <f t="shared" ca="1" si="4"/>
        <v xml:space="preserve">"\uba55\uc2dc\ucf54 \ud398\uc18c (MXN)"
</v>
      </c>
      <c r="J31" t="str">
        <f t="shared" ca="1" si="4"/>
        <v xml:space="preserve">"78.18"
</v>
      </c>
      <c r="K31" t="str">
        <f t="shared" ca="1" si="4"/>
        <v xml:space="preserve">"17.17105"
</v>
      </c>
      <c r="R31" t="str" cm="1">
        <f t="array" aca="1" ref="R31" ca="1">DecodeUnicode(S31)</f>
        <v>멕시코 페소 (MXN)</v>
      </c>
      <c r="S31" t="str">
        <f t="shared" ca="1" si="1"/>
        <v>\uba55\uc2dc\ucf54 \ud398\uc18c (MXN)</v>
      </c>
      <c r="T31" t="str">
        <f t="shared" ca="1" si="2"/>
        <v>78.18</v>
      </c>
      <c r="U31" t="str">
        <f t="shared" ca="1" si="3"/>
        <v>17.17105</v>
      </c>
    </row>
    <row r="32" spans="1:21" x14ac:dyDescent="0.3">
      <c r="A32">
        <v>30</v>
      </c>
      <c r="I32" t="str">
        <f t="shared" ca="1" si="4"/>
        <v xml:space="preserve">"\ube0c\ub77c\uc9c8 \ud5e4\uc54c (BRL)"
</v>
      </c>
      <c r="J32" t="str">
        <f t="shared" ca="1" si="4"/>
        <v xml:space="preserve">"272.30"
</v>
      </c>
      <c r="K32" t="str">
        <f t="shared" ca="1" si="4"/>
        <v xml:space="preserve">"4.92990"
</v>
      </c>
      <c r="R32" t="str" cm="1">
        <f t="array" aca="1" ref="R32" ca="1">DecodeUnicode(S32)</f>
        <v>브라질 헤알 (BRL)</v>
      </c>
      <c r="S32" t="str">
        <f t="shared" ca="1" si="1"/>
        <v>\ube0c\ub77c\uc9c8 \ud5e4\uc54c (BRL)</v>
      </c>
      <c r="T32" t="str">
        <f t="shared" ca="1" si="2"/>
        <v>272.30</v>
      </c>
      <c r="U32" t="str">
        <f t="shared" ca="1" si="3"/>
        <v>4.92990</v>
      </c>
    </row>
    <row r="33" spans="1:21" x14ac:dyDescent="0.3">
      <c r="A33">
        <v>31</v>
      </c>
      <c r="I33" t="str">
        <f t="shared" ca="1" si="4"/>
        <v xml:space="preserve">"\uc544\ub974\ud5e8\ud2f0\ub098 \ud398\uc18c (ARS)"
</v>
      </c>
      <c r="J33" t="str">
        <f t="shared" ca="1" si="4"/>
        <v xml:space="preserve">"1.64"
</v>
      </c>
      <c r="K33" t="str">
        <f t="shared" ca="1" si="4"/>
        <v xml:space="preserve">"819.25000"
</v>
      </c>
      <c r="R33" t="str" cm="1">
        <f t="array" aca="1" ref="R33" ca="1">DecodeUnicode(S33)</f>
        <v>아르헨티나 페소 (ARS)</v>
      </c>
      <c r="S33" t="str">
        <f t="shared" ca="1" si="1"/>
        <v>\uc544\ub974\ud5e8\ud2f0\ub098 \ud398\uc18c (ARS)</v>
      </c>
      <c r="T33" t="str">
        <f t="shared" ca="1" si="2"/>
        <v>1.64</v>
      </c>
      <c r="U33" t="str">
        <f t="shared" ca="1" si="3"/>
        <v>819.25000</v>
      </c>
    </row>
    <row r="34" spans="1:21" x14ac:dyDescent="0.3">
      <c r="A34">
        <v>32</v>
      </c>
      <c r="I34" t="str">
        <f t="shared" ca="1" si="4"/>
        <v xml:space="preserve">"\uce60\ub808 \ud398\uc18c (CLP)"
</v>
      </c>
      <c r="J34" t="str">
        <f t="shared" ca="1" si="4"/>
        <v xml:space="preserve">"1.46"
</v>
      </c>
      <c r="K34" t="str">
        <f t="shared" ca="1" si="4"/>
        <v xml:space="preserve">"917.80000"
</v>
      </c>
      <c r="R34" t="str" cm="1">
        <f t="array" aca="1" ref="R34" ca="1">DecodeUnicode(S34)</f>
        <v>칠레 페소 (CLP)</v>
      </c>
      <c r="S34" t="str">
        <f t="shared" ca="1" si="1"/>
        <v>\uce60\ub808 \ud398\uc18c (CLP)</v>
      </c>
      <c r="T34" t="str">
        <f t="shared" ca="1" si="2"/>
        <v>1.46</v>
      </c>
      <c r="U34" t="str">
        <f t="shared" ca="1" si="3"/>
        <v>917.80000</v>
      </c>
    </row>
    <row r="35" spans="1:21" x14ac:dyDescent="0.3">
      <c r="A35">
        <v>33</v>
      </c>
      <c r="I35" t="str">
        <f t="shared" ca="1" si="4"/>
        <v xml:space="preserve">"\ucf5c\ub86c\ube44\uc544 \ud398\uc18c (COP)"
</v>
      </c>
      <c r="J35" t="str">
        <f t="shared" ca="1" si="4"/>
        <v xml:space="preserve">"0.34"
</v>
      </c>
      <c r="K35" t="str">
        <f t="shared" ca="1" si="4"/>
        <v xml:space="preserve">"3,918.77000"
</v>
      </c>
      <c r="R35" t="str" cm="1">
        <f t="array" aca="1" ref="R35" ca="1">DecodeUnicode(S35)</f>
        <v>콜롬비아 페소 (COP)</v>
      </c>
      <c r="S35" t="str">
        <f t="shared" ca="1" si="1"/>
        <v>\ucf5c\ub86c\ube44\uc544 \ud398\uc18c (COP)</v>
      </c>
      <c r="T35" t="str">
        <f t="shared" ca="1" si="2"/>
        <v>0.34</v>
      </c>
      <c r="U35" t="str">
        <f t="shared" ca="1" si="3"/>
        <v>3,918.77000</v>
      </c>
    </row>
    <row r="36" spans="1:21" x14ac:dyDescent="0.3">
      <c r="A36">
        <v>34</v>
      </c>
      <c r="I36" t="str">
        <f t="shared" ca="1" si="4"/>
        <v xml:space="preserve">"\uc2a4\uc6e8\ub374 \ud06c\ub85c\ub098 (SEK)"
</v>
      </c>
      <c r="J36" t="str">
        <f t="shared" ca="1" si="4"/>
        <v xml:space="preserve">"128.01"
</v>
      </c>
      <c r="K36" t="str">
        <f t="shared" ca="1" si="4"/>
        <v xml:space="preserve">"10.48665"
</v>
      </c>
      <c r="R36" t="str" cm="1">
        <f t="array" aca="1" ref="R36" ca="1">DecodeUnicode(S36)</f>
        <v>스웨덴 크로나 (SEK)</v>
      </c>
      <c r="S36" t="str">
        <f t="shared" ref="S36:S58" ca="1" si="5">MID(I36, 2, LEN(I36)-3)</f>
        <v>\uc2a4\uc6e8\ub374 \ud06c\ub85c\ub098 (SEK)</v>
      </c>
      <c r="T36" t="str">
        <f t="shared" ref="T36:T58" ca="1" si="6">MID(J36, 2, LEN(J36)-3)</f>
        <v>128.01</v>
      </c>
      <c r="U36" t="str">
        <f t="shared" ref="U36:U58" ca="1" si="7">MID(K36, 2, LEN(K36)-3)</f>
        <v>10.48665</v>
      </c>
    </row>
    <row r="37" spans="1:21" x14ac:dyDescent="0.3">
      <c r="A37">
        <v>35</v>
      </c>
      <c r="I37" t="str">
        <f t="shared" ca="1" si="4"/>
        <v xml:space="preserve">"\ub374\ub9c8\ud06c \ud06c\ub85c\ub124 (DKK)"
</v>
      </c>
      <c r="J37" t="str">
        <f t="shared" ca="1" si="4"/>
        <v xml:space="preserve">"195.82"
</v>
      </c>
      <c r="K37" t="str">
        <f t="shared" ca="1" si="4"/>
        <v xml:space="preserve">"6.85520"
</v>
      </c>
      <c r="R37" t="str" cm="1">
        <f t="array" aca="1" ref="R37" ca="1">DecodeUnicode(S37)</f>
        <v>덴마크 크로네 (DKK)</v>
      </c>
      <c r="S37" t="str">
        <f t="shared" ca="1" si="5"/>
        <v>\ub374\ub9c8\ud06c \ud06c\ub85c\ub124 (DKK)</v>
      </c>
      <c r="T37" t="str">
        <f t="shared" ca="1" si="6"/>
        <v>195.82</v>
      </c>
      <c r="U37" t="str">
        <f t="shared" ca="1" si="7"/>
        <v>6.85520</v>
      </c>
    </row>
    <row r="38" spans="1:21" x14ac:dyDescent="0.3">
      <c r="A38">
        <v>36</v>
      </c>
      <c r="I38" t="str">
        <f t="shared" ca="1" si="4"/>
        <v xml:space="preserve">"\ub178\ub974\uc6e8\uc774 \ud06c\ub85c\ub124 (NOK)"
</v>
      </c>
      <c r="J38" t="str">
        <f t="shared" ca="1" si="4"/>
        <v xml:space="preserve">"127.52"
</v>
      </c>
      <c r="K38" t="str">
        <f t="shared" ca="1" si="4"/>
        <v xml:space="preserve">"10.52675"
</v>
      </c>
      <c r="R38" t="str" cm="1">
        <f t="array" aca="1" ref="R38" ca="1">DecodeUnicode(S38)</f>
        <v>노르웨이 크로네 (NOK)</v>
      </c>
      <c r="S38" t="str">
        <f t="shared" ca="1" si="5"/>
        <v>\ub178\ub974\uc6e8\uc774 \ud06c\ub85c\ub124 (NOK)</v>
      </c>
      <c r="T38" t="str">
        <f t="shared" ca="1" si="6"/>
        <v>127.52</v>
      </c>
      <c r="U38" t="str">
        <f t="shared" ca="1" si="7"/>
        <v>10.52675</v>
      </c>
    </row>
    <row r="39" spans="1:21" x14ac:dyDescent="0.3">
      <c r="A39">
        <v>37</v>
      </c>
      <c r="I39" t="str">
        <f t="shared" ca="1" si="4"/>
        <v xml:space="preserve">"\ub7ec\uc2dc\uc544 \ub8e8\ube14 (RUB)"
</v>
      </c>
      <c r="J39" t="str">
        <f t="shared" ca="1" si="4"/>
        <v xml:space="preserve">"15.01"
</v>
      </c>
      <c r="K39" t="str">
        <f t="shared" ca="1" si="4"/>
        <v xml:space="preserve">"89.42500"
</v>
      </c>
      <c r="R39" t="str" cm="1">
        <f t="array" aca="1" ref="R39" ca="1">DecodeUnicode(S39)</f>
        <v>러시아 루블 (RUB)</v>
      </c>
      <c r="S39" t="str">
        <f t="shared" ca="1" si="5"/>
        <v>\ub7ec\uc2dc\uc544 \ub8e8\ube14 (RUB)</v>
      </c>
      <c r="T39" t="str">
        <f t="shared" ca="1" si="6"/>
        <v>15.01</v>
      </c>
      <c r="U39" t="str">
        <f t="shared" ca="1" si="7"/>
        <v>89.42500</v>
      </c>
    </row>
    <row r="40" spans="1:21" x14ac:dyDescent="0.3">
      <c r="A40">
        <v>38</v>
      </c>
      <c r="I40" t="str">
        <f t="shared" ca="1" si="4"/>
        <v xml:space="preserve">"\ud5dd\uac00\ub9ac \ud3ec\ub9b0\ud2b8 (HUF)"
</v>
      </c>
      <c r="J40" t="str">
        <f t="shared" ca="1" si="4"/>
        <v xml:space="preserve">"3.82"
</v>
      </c>
      <c r="K40" t="str">
        <f t="shared" ca="1" si="4"/>
        <v xml:space="preserve">"351.63000"
</v>
      </c>
      <c r="R40" t="str" cm="1">
        <f t="array" aca="1" ref="R40" ca="1">DecodeUnicode(S40)</f>
        <v>헝가리 포린트 (HUF)</v>
      </c>
      <c r="S40" t="str">
        <f t="shared" ca="1" si="5"/>
        <v>\ud5dd\uac00\ub9ac \ud3ec\ub9b0\ud2b8 (HUF)</v>
      </c>
      <c r="T40" t="str">
        <f t="shared" ca="1" si="6"/>
        <v>3.82</v>
      </c>
      <c r="U40" t="str">
        <f t="shared" ca="1" si="7"/>
        <v>351.63000</v>
      </c>
    </row>
    <row r="41" spans="1:21" x14ac:dyDescent="0.3">
      <c r="A41">
        <v>39</v>
      </c>
      <c r="I41" t="str">
        <f t="shared" ca="1" si="4"/>
        <v xml:space="preserve">"\ud3f4\ub780\ub4dc \uc988\uc6cc\ud2f0 (PLN)"
</v>
      </c>
      <c r="J41" t="str">
        <f t="shared" ca="1" si="4"/>
        <v xml:space="preserve">"332.97"
</v>
      </c>
      <c r="K41" t="str">
        <f t="shared" ca="1" si="4"/>
        <v xml:space="preserve">"4.03155"
</v>
      </c>
      <c r="R41" t="str" cm="1">
        <f t="array" aca="1" ref="R41" ca="1">DecodeUnicode(S41)</f>
        <v>폴란드 즈워티 (PLN)</v>
      </c>
      <c r="S41" t="str">
        <f t="shared" ca="1" si="5"/>
        <v>\ud3f4\ub780\ub4dc \uc988\uc6cc\ud2f0 (PLN)</v>
      </c>
      <c r="T41" t="str">
        <f t="shared" ca="1" si="6"/>
        <v>332.97</v>
      </c>
      <c r="U41" t="str">
        <f t="shared" ca="1" si="7"/>
        <v>4.03155</v>
      </c>
    </row>
    <row r="42" spans="1:21" x14ac:dyDescent="0.3">
      <c r="A42">
        <v>40</v>
      </c>
      <c r="I42" t="str">
        <f t="shared" ca="1" si="4"/>
        <v xml:space="preserve">"\uccb4\ucf54 \ucf54\ub8e8\ub098 (CZK)"
</v>
      </c>
      <c r="J42" t="str">
        <f t="shared" ca="1" si="4"/>
        <v xml:space="preserve">"58.90"
</v>
      </c>
      <c r="K42" t="str">
        <f t="shared" ca="1" si="4"/>
        <v xml:space="preserve">"22.79100"
</v>
      </c>
      <c r="R42" t="str" cm="1">
        <f t="array" aca="1" ref="R42" ca="1">DecodeUnicode(S42)</f>
        <v>체코 코루나 (CZK)</v>
      </c>
      <c r="S42" t="str">
        <f t="shared" ca="1" si="5"/>
        <v>\uccb4\ucf54 \ucf54\ub8e8\ub098 (CZK)</v>
      </c>
      <c r="T42" t="str">
        <f t="shared" ca="1" si="6"/>
        <v>58.90</v>
      </c>
      <c r="U42" t="str">
        <f t="shared" ca="1" si="7"/>
        <v>22.79100</v>
      </c>
    </row>
    <row r="43" spans="1:21" x14ac:dyDescent="0.3">
      <c r="A43">
        <v>41</v>
      </c>
      <c r="I43" t="str">
        <f t="shared" ca="1" si="4"/>
        <v xml:space="preserve">"\ub8e8\ub9c8\ub2c8\uc544 \ub808\uc6b0 (RON)"
</v>
      </c>
      <c r="J43" t="str">
        <f t="shared" ca="1" si="4"/>
        <v xml:space="preserve">"293.37"
</v>
      </c>
      <c r="K43" t="str">
        <f t="shared" ca="1" si="4"/>
        <v xml:space="preserve">"4.57575"
</v>
      </c>
      <c r="R43" t="str" cm="1">
        <f t="array" aca="1" ref="R43" ca="1">DecodeUnicode(S43)</f>
        <v>루마니아 레우 (RON)</v>
      </c>
      <c r="S43" t="str">
        <f t="shared" ca="1" si="5"/>
        <v>\ub8e8\ub9c8\ub2c8\uc544 \ub808\uc6b0 (RON)</v>
      </c>
      <c r="T43" t="str">
        <f t="shared" ca="1" si="6"/>
        <v>293.37</v>
      </c>
      <c r="U43" t="str">
        <f t="shared" ca="1" si="7"/>
        <v>4.57575</v>
      </c>
    </row>
    <row r="44" spans="1:21" x14ac:dyDescent="0.3">
      <c r="A44">
        <v>42</v>
      </c>
      <c r="I44" t="str">
        <f t="shared" ref="I44:K63" ca="1" si="8">_xlfn.WEBSERVICE(_xlfn.CONCAT($B$3,$D$3,$W$3,I$3,"-",$A42))</f>
        <v xml:space="preserve">"\uc0ac\uc6b0\ub514\uc544\ub77c\ube44\uc544 \ub9ac\uc584 (SAR)"
</v>
      </c>
      <c r="J44" t="str">
        <f t="shared" ca="1" si="8"/>
        <v xml:space="preserve">"357.92"
</v>
      </c>
      <c r="K44" t="str">
        <f t="shared" ca="1" si="8"/>
        <v xml:space="preserve">"3.75060"
</v>
      </c>
      <c r="R44" t="str" cm="1">
        <f t="array" aca="1" ref="R44" ca="1">DecodeUnicode(S44)</f>
        <v>사우디아라비아 리얄 (SAR)</v>
      </c>
      <c r="S44" t="str">
        <f t="shared" ca="1" si="5"/>
        <v>\uc0ac\uc6b0\ub514\uc544\ub77c\ube44\uc544 \ub9ac\uc584 (SAR)</v>
      </c>
      <c r="T44" t="str">
        <f t="shared" ca="1" si="6"/>
        <v>357.92</v>
      </c>
      <c r="U44" t="str">
        <f t="shared" ca="1" si="7"/>
        <v>3.75060</v>
      </c>
    </row>
    <row r="45" spans="1:21" x14ac:dyDescent="0.3">
      <c r="A45">
        <v>43</v>
      </c>
      <c r="I45" t="str">
        <f t="shared" ca="1" si="8"/>
        <v xml:space="preserve">"\uce74\ud0c0\ub974 \ub9ac\uc584 (QAR)"
</v>
      </c>
      <c r="J45" t="str">
        <f t="shared" ca="1" si="8"/>
        <v xml:space="preserve">"368.22"
</v>
      </c>
      <c r="K45" t="str">
        <f t="shared" ca="1" si="8"/>
        <v xml:space="preserve">"3.64560"
</v>
      </c>
      <c r="R45" t="str" cm="1">
        <f t="array" aca="1" ref="R45" ca="1">DecodeUnicode(S45)</f>
        <v>카타르 리얄 (QAR)</v>
      </c>
      <c r="S45" t="str">
        <f t="shared" ca="1" si="5"/>
        <v>\uce74\ud0c0\ub974 \ub9ac\uc584 (QAR)</v>
      </c>
      <c r="T45" t="str">
        <f t="shared" ca="1" si="6"/>
        <v>368.22</v>
      </c>
      <c r="U45" t="str">
        <f t="shared" ca="1" si="7"/>
        <v>3.64560</v>
      </c>
    </row>
    <row r="46" spans="1:21" x14ac:dyDescent="0.3">
      <c r="A46">
        <v>44</v>
      </c>
      <c r="I46" t="str">
        <f t="shared" ca="1" si="8"/>
        <v xml:space="preserve">"\uc774\uc2a4\ub77c\uc5d8 \uc170\ucf08 (ILS)"
</v>
      </c>
      <c r="J46" t="str">
        <f t="shared" ca="1" si="8"/>
        <v xml:space="preserve">"356.89"
</v>
      </c>
      <c r="K46" t="str">
        <f t="shared" ca="1" si="8"/>
        <v xml:space="preserve">"3.76140"
</v>
      </c>
      <c r="R46" t="str" cm="1">
        <f t="array" aca="1" ref="R46" ca="1">DecodeUnicode(S46)</f>
        <v>이스라엘 셰켈 (ILS)</v>
      </c>
      <c r="S46" t="str">
        <f t="shared" ca="1" si="5"/>
        <v>\uc774\uc2a4\ub77c\uc5d8 \uc170\ucf08 (ILS)</v>
      </c>
      <c r="T46" t="str">
        <f t="shared" ca="1" si="6"/>
        <v>356.89</v>
      </c>
      <c r="U46" t="str">
        <f t="shared" ca="1" si="7"/>
        <v>3.76140</v>
      </c>
    </row>
    <row r="47" spans="1:21" x14ac:dyDescent="0.3">
      <c r="A47">
        <v>45</v>
      </c>
      <c r="I47" t="str">
        <f t="shared" ca="1" si="8"/>
        <v xml:space="preserve">"\uc694\ub974\ub2e8 \ub514\ub098\ub974 (JOD)"
</v>
      </c>
      <c r="J47" t="str">
        <f t="shared" ca="1" si="8"/>
        <v xml:space="preserve">"1,892.44"
</v>
      </c>
      <c r="K47" t="str">
        <f t="shared" ca="1" si="8"/>
        <v xml:space="preserve">"0.70935"
</v>
      </c>
      <c r="R47" t="str" cm="1">
        <f t="array" aca="1" ref="R47" ca="1">DecodeUnicode(S47)</f>
        <v>요르단 디나르 (JOD)</v>
      </c>
      <c r="S47" t="str">
        <f t="shared" ca="1" si="5"/>
        <v>\uc694\ub974\ub2e8 \ub514\ub098\ub974 (JOD)</v>
      </c>
      <c r="T47" t="str">
        <f t="shared" ca="1" si="6"/>
        <v>1,892.44</v>
      </c>
      <c r="U47" t="str">
        <f t="shared" ca="1" si="7"/>
        <v>0.70935</v>
      </c>
    </row>
    <row r="48" spans="1:21" x14ac:dyDescent="0.3">
      <c r="A48">
        <v>46</v>
      </c>
      <c r="I48" t="str">
        <f t="shared" ca="1" si="8"/>
        <v xml:space="preserve">"\ucfe0\uc6e8\uc774\ud2b8 \ub514\ub098\ub974 (KWD)"
</v>
      </c>
      <c r="J48" t="str">
        <f t="shared" ca="1" si="8"/>
        <v xml:space="preserve">"4,361.27"
</v>
      </c>
      <c r="K48" t="str">
        <f t="shared" ca="1" si="8"/>
        <v xml:space="preserve">"0.30780"
</v>
      </c>
      <c r="R48" t="str" cm="1">
        <f t="array" aca="1" ref="R48" ca="1">DecodeUnicode(S48)</f>
        <v>쿠웨이트 디나르 (KWD)</v>
      </c>
      <c r="S48" t="str">
        <f t="shared" ca="1" si="5"/>
        <v>\ucfe0\uc6e8\uc774\ud2b8 \ub514\ub098\ub974 (KWD)</v>
      </c>
      <c r="T48" t="str">
        <f t="shared" ca="1" si="6"/>
        <v>4,361.27</v>
      </c>
      <c r="U48" t="str">
        <f t="shared" ca="1" si="7"/>
        <v>0.30780</v>
      </c>
    </row>
    <row r="49" spans="1:21" x14ac:dyDescent="0.3">
      <c r="A49">
        <v>47</v>
      </c>
      <c r="I49" t="str">
        <f t="shared" ca="1" si="8"/>
        <v xml:space="preserve">"\ubc14\ub808\uc778 \ub514\ub098\ub974 (BHD)"
</v>
      </c>
      <c r="J49" t="str">
        <f t="shared" ca="1" si="8"/>
        <v xml:space="preserve">"3,560.84"
</v>
      </c>
      <c r="K49" t="str">
        <f t="shared" ca="1" si="8"/>
        <v xml:space="preserve">"0.37699"
</v>
      </c>
      <c r="R49" t="str" cm="1">
        <f t="array" aca="1" ref="R49" ca="1">DecodeUnicode(S49)</f>
        <v>바레인 디나르 (BHD)</v>
      </c>
      <c r="S49" t="str">
        <f t="shared" ca="1" si="5"/>
        <v>\ubc14\ub808\uc778 \ub514\ub098\ub974 (BHD)</v>
      </c>
      <c r="T49" t="str">
        <f t="shared" ca="1" si="6"/>
        <v>3,560.84</v>
      </c>
      <c r="U49" t="str">
        <f t="shared" ca="1" si="7"/>
        <v>0.37699</v>
      </c>
    </row>
    <row r="50" spans="1:21" x14ac:dyDescent="0.3">
      <c r="A50">
        <v>48</v>
      </c>
      <c r="I50" t="str">
        <f t="shared" ca="1" si="8"/>
        <v xml:space="preserve">"\uc544\ub78d\uc5d0\ubbf8\ub9ac\ud2b8 \ub514\ub974\ud568 (AED)"
</v>
      </c>
      <c r="J50" t="str">
        <f t="shared" ca="1" si="8"/>
        <v xml:space="preserve">"365.48"
</v>
      </c>
      <c r="K50" t="str">
        <f t="shared" ca="1" si="8"/>
        <v xml:space="preserve">"3.67300"
</v>
      </c>
      <c r="R50" t="str" cm="1">
        <f t="array" aca="1" ref="R50" ca="1">DecodeUnicode(S50)</f>
        <v>아랍에미리트 디르함 (AED)</v>
      </c>
      <c r="S50" t="str">
        <f t="shared" ca="1" si="5"/>
        <v>\uc544\ub78d\uc5d0\ubbf8\ub9ac\ud2b8 \ub514\ub974\ud568 (AED)</v>
      </c>
      <c r="T50" t="str">
        <f t="shared" ca="1" si="6"/>
        <v>365.48</v>
      </c>
      <c r="U50" t="str">
        <f t="shared" ca="1" si="7"/>
        <v>3.67300</v>
      </c>
    </row>
    <row r="51" spans="1:21" x14ac:dyDescent="0.3">
      <c r="A51">
        <v>49</v>
      </c>
      <c r="I51" t="str">
        <f t="shared" ca="1" si="8"/>
        <v xml:space="preserve">"\ud280\ub974\ud0a4\uc608 \ub9ac\ub77c (TRY)"
</v>
      </c>
      <c r="J51" t="str">
        <f t="shared" ca="1" si="8"/>
        <v xml:space="preserve">"44.50"
</v>
      </c>
      <c r="K51" t="str">
        <f t="shared" ca="1" si="8"/>
        <v xml:space="preserve">"30.16315"
</v>
      </c>
      <c r="R51" t="str" cm="1">
        <f t="array" aca="1" ref="R51" ca="1">DecodeUnicode(S51)</f>
        <v>튀르키예 리라 (TRY)</v>
      </c>
      <c r="S51" t="str">
        <f t="shared" ca="1" si="5"/>
        <v>\ud280\ub974\ud0a4\uc608 \ub9ac\ub77c (TRY)</v>
      </c>
      <c r="T51" t="str">
        <f t="shared" ca="1" si="6"/>
        <v>44.50</v>
      </c>
      <c r="U51" t="str">
        <f t="shared" ca="1" si="7"/>
        <v>30.16315</v>
      </c>
    </row>
    <row r="52" spans="1:21" x14ac:dyDescent="0.3">
      <c r="A52">
        <v>50</v>
      </c>
      <c r="I52" t="str">
        <f t="shared" ca="1" si="8"/>
        <v xml:space="preserve">"\uc624\ub9cc \ub9ac\uc584 (OMR)"
</v>
      </c>
      <c r="J52" t="str">
        <f t="shared" ca="1" si="8"/>
        <v xml:space="preserve">"3,486.84"
</v>
      </c>
      <c r="K52" t="str">
        <f t="shared" ca="1" si="8"/>
        <v xml:space="preserve">"0.38499"
</v>
      </c>
      <c r="R52" t="str" cm="1">
        <f t="array" aca="1" ref="R52" ca="1">DecodeUnicode(S52)</f>
        <v>오만 리얄 (OMR)</v>
      </c>
      <c r="S52" t="str">
        <f t="shared" ca="1" si="5"/>
        <v>\uc624\ub9cc \ub9ac\uc584 (OMR)</v>
      </c>
      <c r="T52" t="str">
        <f t="shared" ca="1" si="6"/>
        <v>3,486.84</v>
      </c>
      <c r="U52" t="str">
        <f t="shared" ca="1" si="7"/>
        <v>0.38499</v>
      </c>
    </row>
    <row r="53" spans="1:21" x14ac:dyDescent="0.3">
      <c r="A53">
        <v>51</v>
      </c>
      <c r="I53" t="str">
        <f t="shared" ca="1" si="8"/>
        <v xml:space="preserve">"\ub0a8\uc544\ud504\ub9ac\uce74\uacf5\ud654\uad6d \ub79c\ub4dc (ZAR)"
</v>
      </c>
      <c r="J53" t="str">
        <f t="shared" ca="1" si="8"/>
        <v xml:space="preserve">"70.89"
</v>
      </c>
      <c r="K53" t="str">
        <f t="shared" ca="1" si="8"/>
        <v xml:space="preserve">"18.93755"
</v>
      </c>
      <c r="R53" t="str" cm="1">
        <f t="array" aca="1" ref="R53" ca="1">DecodeUnicode(S53)</f>
        <v>남아프리카공화국 랜드 (ZAR)</v>
      </c>
      <c r="S53" t="str">
        <f t="shared" ca="1" si="5"/>
        <v>\ub0a8\uc544\ud504\ub9ac\uce74\uacf5\ud654\uad6d \ub79c\ub4dc (ZAR)</v>
      </c>
      <c r="T53" t="str">
        <f t="shared" ca="1" si="6"/>
        <v>70.89</v>
      </c>
      <c r="U53" t="str">
        <f t="shared" ca="1" si="7"/>
        <v>18.93755</v>
      </c>
    </row>
    <row r="54" spans="1:21" x14ac:dyDescent="0.3">
      <c r="A54">
        <v>52</v>
      </c>
      <c r="I54" t="str">
        <f t="shared" ca="1" si="8"/>
        <v xml:space="preserve">"\uc774\uc9d1\ud2b8 \ud30c\uc6b4\ub4dc (EGP)"
</v>
      </c>
      <c r="J54" t="str">
        <f t="shared" ca="1" si="8"/>
        <v xml:space="preserve">"43.44"
</v>
      </c>
      <c r="K54" t="str">
        <f t="shared" ca="1" si="8"/>
        <v xml:space="preserve">"30.90000"
</v>
      </c>
      <c r="R54" t="str" cm="1">
        <f t="array" aca="1" ref="R54" ca="1">DecodeUnicode(S54)</f>
        <v>이집트 파운드 (EGP)</v>
      </c>
      <c r="S54" t="str">
        <f t="shared" ca="1" si="5"/>
        <v>\uc774\uc9d1\ud2b8 \ud30c\uc6b4\ub4dc (EGP)</v>
      </c>
      <c r="T54" t="str">
        <f t="shared" ca="1" si="6"/>
        <v>43.44</v>
      </c>
      <c r="U54" t="str">
        <f t="shared" ca="1" si="7"/>
        <v>30.90000</v>
      </c>
    </row>
    <row r="55" spans="1:21" x14ac:dyDescent="0.3">
      <c r="A55">
        <v>53</v>
      </c>
      <c r="I55" t="str">
        <f t="shared" ca="1" si="8"/>
        <v xml:space="preserve">"\ucf00\ub0d0 \uc2e4\ub9c1 (KES)"
</v>
      </c>
      <c r="J55" t="str">
        <f t="shared" ca="1" si="8"/>
        <v xml:space="preserve">"8.30"
</v>
      </c>
      <c r="K55" t="str">
        <f t="shared" ca="1" si="8"/>
        <v xml:space="preserve">"161.75000"
</v>
      </c>
      <c r="R55" t="str" cm="1">
        <f t="array" aca="1" ref="R55" ca="1">DecodeUnicode(S55)</f>
        <v>케냐 실링 (KES)</v>
      </c>
      <c r="S55" t="str">
        <f t="shared" ca="1" si="5"/>
        <v>\ucf00\ub0d0 \uc2e4\ub9c1 (KES)</v>
      </c>
      <c r="T55" t="str">
        <f t="shared" ca="1" si="6"/>
        <v>8.30</v>
      </c>
      <c r="U55" t="str">
        <f t="shared" ca="1" si="7"/>
        <v>161.75000</v>
      </c>
    </row>
    <row r="56" spans="1:21" x14ac:dyDescent="0.3">
      <c r="A56">
        <v>54</v>
      </c>
      <c r="I56" t="str">
        <f t="shared" ca="1" si="8"/>
        <v xml:space="preserve">"\ub9ac\ube44\uc544 \ub514\ub098\ub974 (LYD)"
</v>
      </c>
      <c r="J56" t="str">
        <f t="shared" ca="1" si="8"/>
        <v xml:space="preserve">"278.79"
</v>
      </c>
      <c r="K56" t="str">
        <f t="shared" ca="1" si="8"/>
        <v xml:space="preserve">"4.81515"
</v>
      </c>
      <c r="R56" t="str" cm="1">
        <f t="array" aca="1" ref="R56" ca="1">DecodeUnicode(S56)</f>
        <v>리비아 디나르 (LYD)</v>
      </c>
      <c r="S56" t="str">
        <f t="shared" ca="1" si="5"/>
        <v>\ub9ac\ube44\uc544 \ub514\ub098\ub974 (LYD)</v>
      </c>
      <c r="T56" t="str">
        <f t="shared" ca="1" si="6"/>
        <v>278.79</v>
      </c>
      <c r="U56" t="str">
        <f t="shared" ca="1" si="7"/>
        <v>4.81515</v>
      </c>
    </row>
    <row r="57" spans="1:21" x14ac:dyDescent="0.3">
      <c r="I57" t="str">
        <f t="shared" ca="1" si="8"/>
        <v xml:space="preserve">"\uc5d0\ud2f0\uc624\ud53c\uc544 \ube44\ub974 (ETB)"
</v>
      </c>
      <c r="J57" t="str">
        <f t="shared" ca="1" si="8"/>
        <v xml:space="preserve">"23.73"
</v>
      </c>
      <c r="K57" t="str">
        <f t="shared" ca="1" si="8"/>
        <v xml:space="preserve">"56.56725"
</v>
      </c>
      <c r="R57" t="str" cm="1">
        <f t="array" aca="1" ref="R57" ca="1">DecodeUnicode(S57)</f>
        <v>에티오피아 비르 (ETB)</v>
      </c>
      <c r="S57" t="str">
        <f t="shared" ca="1" si="5"/>
        <v>\uc5d0\ud2f0\uc624\ud53c\uc544 \ube44\ub974 (ETB)</v>
      </c>
      <c r="T57" t="str">
        <f t="shared" ca="1" si="6"/>
        <v>23.73</v>
      </c>
      <c r="U57" t="str">
        <f t="shared" ca="1" si="7"/>
        <v>56.56725</v>
      </c>
    </row>
    <row r="58" spans="1:21" x14ac:dyDescent="0.3">
      <c r="I58" t="str">
        <f t="shared" ca="1" si="8"/>
        <v xml:space="preserve">"\ud53c\uc9c0 \ub2ec\ub7ec (FJD)"
</v>
      </c>
      <c r="J58" t="str">
        <f t="shared" ca="1" si="8"/>
        <v xml:space="preserve">"599.78"
</v>
      </c>
      <c r="K58" t="str">
        <f t="shared" ca="1" si="8"/>
        <v xml:space="preserve">"0.44680"
</v>
      </c>
      <c r="R58" t="str" cm="1">
        <f t="array" aca="1" ref="R58" ca="1">DecodeUnicode(S58)</f>
        <v>피지 달러 (FJD)</v>
      </c>
      <c r="S58" t="str">
        <f t="shared" ca="1" si="5"/>
        <v>\ud53c\uc9c0 \ub2ec\ub7ec (FJD)</v>
      </c>
      <c r="T58" t="str">
        <f t="shared" ca="1" si="6"/>
        <v>599.78</v>
      </c>
      <c r="U58" t="str">
        <f t="shared" ca="1" si="7"/>
        <v>0.44680</v>
      </c>
    </row>
  </sheetData>
  <phoneticPr fontId="1" type="noConversion"/>
  <hyperlinks>
    <hyperlink ref="B3" r:id="rId1" xr:uid="{3EA3094E-88B0-45C0-BF6F-1CC0F912B73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15</xdr:col>
                    <xdr:colOff>628650</xdr:colOff>
                    <xdr:row>0</xdr:row>
                    <xdr:rowOff>95250</xdr:rowOff>
                  </from>
                  <to>
                    <xdr:col>16</xdr:col>
                    <xdr:colOff>371475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6BA7FF-9789-4F9A-A220-0DA9C53FC8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Jumyung</dc:creator>
  <cp:lastModifiedBy>Nam Jumyung</cp:lastModifiedBy>
  <dcterms:created xsi:type="dcterms:W3CDTF">2024-01-19T07:19:53Z</dcterms:created>
  <dcterms:modified xsi:type="dcterms:W3CDTF">2024-01-19T08:57:28Z</dcterms:modified>
</cp:coreProperties>
</file>